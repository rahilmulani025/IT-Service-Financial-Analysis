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il Mulani\Documents\"/>
    </mc:Choice>
  </mc:AlternateContent>
  <xr:revisionPtr revIDLastSave="0" documentId="13_ncr:1_{61F79F49-4BEB-42C3-8022-F3B163C7CFA1}" xr6:coauthVersionLast="47" xr6:coauthVersionMax="47" xr10:uidLastSave="{00000000-0000-0000-0000-000000000000}"/>
  <bookViews>
    <workbookView xWindow="-108" yWindow="-108" windowWidth="23256" windowHeight="13176" xr2:uid="{DBDA605B-8838-42CD-A82C-435190C1D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" i="1" l="1"/>
  <c r="M51" i="1"/>
  <c r="L51" i="1"/>
  <c r="J13" i="1"/>
  <c r="K18" i="1"/>
  <c r="K21" i="1" s="1"/>
  <c r="J18" i="1"/>
  <c r="J21" i="1" s="1"/>
  <c r="L13" i="1"/>
  <c r="L7" i="1"/>
  <c r="K13" i="1"/>
  <c r="K7" i="1"/>
  <c r="J7" i="1"/>
  <c r="L21" i="1" l="1"/>
  <c r="L18" i="1"/>
</calcChain>
</file>

<file path=xl/sharedStrings.xml><?xml version="1.0" encoding="utf-8"?>
<sst xmlns="http://schemas.openxmlformats.org/spreadsheetml/2006/main" count="48" uniqueCount="46">
  <si>
    <t xml:space="preserve">CASE STUDY </t>
  </si>
  <si>
    <t>Monthly Revenue</t>
  </si>
  <si>
    <t>PROJECTED MONTHLY REVENUE</t>
  </si>
  <si>
    <t>TOTAL MONTLY REVENUE</t>
  </si>
  <si>
    <t>NEW CLIENTS REVENUE</t>
  </si>
  <si>
    <t>CURRENT MONTHLY OPP COST</t>
  </si>
  <si>
    <t>FINANCIAL STRUCTURE</t>
  </si>
  <si>
    <t>EMI OBLIGATIONS</t>
  </si>
  <si>
    <t>DEVLOPERS SALARY</t>
  </si>
  <si>
    <t xml:space="preserve">OTHER COSTS </t>
  </si>
  <si>
    <t xml:space="preserve">MONTHLY OPP COST AFTER </t>
  </si>
  <si>
    <t>NEW DEV SALARY</t>
  </si>
  <si>
    <t>REVENUE INCREASE</t>
  </si>
  <si>
    <t>INCREASE IN COST</t>
  </si>
  <si>
    <t>CURRENT PROFIT</t>
  </si>
  <si>
    <t>PROJECTED PROFIT</t>
  </si>
  <si>
    <t>INCREASE IN PROFIT</t>
  </si>
  <si>
    <t>CURRENT PROFIT MARGIN</t>
  </si>
  <si>
    <t>PROJECTED PROFIT MARGIN</t>
  </si>
  <si>
    <t>CHANGE IN PROFIT MARGIN</t>
  </si>
  <si>
    <t>CONCLUSION : Profit Increases in Absolute Terms , But The Profit Margin Decreases</t>
  </si>
  <si>
    <t>Each Project Requires 3 Developers and Max 3 Working Days to Complete</t>
  </si>
  <si>
    <t>So , Each Client Consumes ( 3 dev * 3 days ) = 9 dev Days</t>
  </si>
  <si>
    <t xml:space="preserve">CURRENT WORKLOAD </t>
  </si>
  <si>
    <t>AFTER ADDING 3 CLIENTS</t>
  </si>
  <si>
    <t>10 client * 9 dev days = 90 dev days / month</t>
  </si>
  <si>
    <t>13 clients * 9 dev days = 117 dev days / month</t>
  </si>
  <si>
    <t>CURRENT WORK DAYS / DEV</t>
  </si>
  <si>
    <t xml:space="preserve">(90/3)=30 DAYS / MONTH </t>
  </si>
  <si>
    <t xml:space="preserve">(117/3)=39 DAYS / MONTH </t>
  </si>
  <si>
    <t>TOTAL EXTRA DEV DAYS AFTER NEW CLIENTS</t>
  </si>
  <si>
    <t xml:space="preserve">117 - 90 = 27 DAYS </t>
  </si>
  <si>
    <t xml:space="preserve">IF A SINGLE DEVELOPER CAN HANDEL 30 DAYS WORK DAY , THE ADDITIONAL 27 DAYS WILL REQUIRE </t>
  </si>
  <si>
    <t>1 NEW DEVELOPER , BUT THE EXISTING WORKLOAD IS TOO HIGH AS THE AVERAGE WORKING DAYS IN</t>
  </si>
  <si>
    <t>CONCLUSION</t>
  </si>
  <si>
    <t xml:space="preserve">A MONTH SHOULD BE AROUND 23 DAYS , SO WE CAN SAY THAT THE CURRENT DEVLOPERS ARE WORKING </t>
  </si>
  <si>
    <r>
      <t>OVERTIME ,</t>
    </r>
    <r>
      <rPr>
        <b/>
        <sz val="11"/>
        <color theme="1"/>
        <rFont val="Calibri"/>
        <family val="2"/>
        <scheme val="minor"/>
      </rPr>
      <t xml:space="preserve"> SO HIRING 2-3 NEW DEVELOPERS WILL BE THE MOST OPTIMAL SOLUTION</t>
    </r>
  </si>
  <si>
    <t>HIRING 6 NEW DEVELOPERS ARE UNNECESSASRY UNLESS</t>
  </si>
  <si>
    <t>MORE CLIENTS ARE EXPECTED SOON OR DILEVERY DELAYS ARE HAPPENING</t>
  </si>
  <si>
    <t>COST FOR HIRING 3 NEW DEV</t>
  </si>
  <si>
    <t>2L*3 = 600000</t>
  </si>
  <si>
    <t>TOTAL OPP COST AFTER HIRING</t>
  </si>
  <si>
    <t>PROFIT AFTER HIRING</t>
  </si>
  <si>
    <t xml:space="preserve">PROFIT MARGIN </t>
  </si>
  <si>
    <t xml:space="preserve">THIS WILL LEAD TO 14% INCREASE IN PROFIT MARGIN , 98K INCREASE IN PROFIT . AND WILL REDUCE THE WORKLOAD OF DEVELOPERS </t>
  </si>
  <si>
    <t>TO 19 DAYS 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</si>
</sst>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0" xfId="0" applyBorder="1"/>
    <xf numFmtId="0" fontId="1" fillId="3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wrapText="1"/>
    </xf>
    <xf numFmtId="0" fontId="0" fillId="8" borderId="0" xfId="0" applyFill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2</xdr:row>
      <xdr:rowOff>7619</xdr:rowOff>
    </xdr:from>
    <xdr:to>
      <xdr:col>7</xdr:col>
      <xdr:colOff>15240</xdr:colOff>
      <xdr:row>25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FEE7A-538B-91B3-038D-DFDBAAAF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373379"/>
          <a:ext cx="5821679" cy="42519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11</xdr:col>
      <xdr:colOff>869575</xdr:colOff>
      <xdr:row>4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A71C3-A1D6-B79E-F0EB-EFAFD9C3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65760"/>
          <a:ext cx="4838699" cy="41910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8</xdr:row>
      <xdr:rowOff>0</xdr:rowOff>
    </xdr:from>
    <xdr:to>
      <xdr:col>11</xdr:col>
      <xdr:colOff>963257</xdr:colOff>
      <xdr:row>9</xdr:row>
      <xdr:rowOff>146724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14619C-139B-B223-405E-AA2CE5AF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140" y="1463040"/>
          <a:ext cx="4892039" cy="329604"/>
        </a:xfrm>
        <a:prstGeom prst="rect">
          <a:avLst/>
        </a:prstGeom>
      </xdr:spPr>
    </xdr:pic>
    <xdr:clientData/>
  </xdr:twoCellAnchor>
  <xdr:twoCellAnchor editAs="oneCell">
    <xdr:from>
      <xdr:col>9</xdr:col>
      <xdr:colOff>45721</xdr:colOff>
      <xdr:row>14</xdr:row>
      <xdr:rowOff>7620</xdr:rowOff>
    </xdr:from>
    <xdr:to>
      <xdr:col>10</xdr:col>
      <xdr:colOff>1455420</xdr:colOff>
      <xdr:row>15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420580-4342-8FC0-B357-FFF6DF793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2861" y="2567940"/>
          <a:ext cx="3337559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609599</xdr:colOff>
      <xdr:row>24</xdr:row>
      <xdr:rowOff>0</xdr:rowOff>
    </xdr:from>
    <xdr:to>
      <xdr:col>12</xdr:col>
      <xdr:colOff>9954</xdr:colOff>
      <xdr:row>25</xdr:row>
      <xdr:rowOff>167640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F89FE2-2CA8-23D7-4EB4-FF07AC26B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97139" y="4389120"/>
          <a:ext cx="5645617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DBAC-41B8-45F2-8F77-BE0527C00BAD}">
  <dimension ref="B1:N54"/>
  <sheetViews>
    <sheetView tabSelected="1" zoomScale="85" zoomScaleNormal="85" workbookViewId="0">
      <selection activeCell="F50" sqref="F50"/>
    </sheetView>
  </sheetViews>
  <sheetFormatPr defaultRowHeight="14.4" x14ac:dyDescent="0.3"/>
  <cols>
    <col min="2" max="2" width="16.109375" bestFit="1" customWidth="1"/>
    <col min="4" max="4" width="20.88671875" bestFit="1" customWidth="1"/>
    <col min="6" max="6" width="20.44140625" bestFit="1" customWidth="1"/>
    <col min="10" max="10" width="28.109375" bestFit="1" customWidth="1"/>
    <col min="11" max="11" width="29.6640625" bestFit="1" customWidth="1"/>
    <col min="12" max="12" width="24.44140625" bestFit="1" customWidth="1"/>
    <col min="13" max="13" width="19.109375" bestFit="1" customWidth="1"/>
    <col min="14" max="14" width="15.88671875" bestFit="1" customWidth="1"/>
  </cols>
  <sheetData>
    <row r="1" spans="2:12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6" spans="2:12" x14ac:dyDescent="0.3">
      <c r="J6" s="3" t="s">
        <v>3</v>
      </c>
      <c r="K6" s="4" t="s">
        <v>2</v>
      </c>
      <c r="L6" s="4" t="s">
        <v>12</v>
      </c>
    </row>
    <row r="7" spans="2:12" x14ac:dyDescent="0.3">
      <c r="J7" s="5">
        <f>SUM(B30,B31,B32,B33,B34,B35,B37,B36,B38,B39)</f>
        <v>6806938</v>
      </c>
      <c r="K7" s="6">
        <f>SUM(J7,1156213,125626,300563)</f>
        <v>8389340</v>
      </c>
      <c r="L7" s="11">
        <f>(K7-J7)</f>
        <v>1582402</v>
      </c>
    </row>
    <row r="12" spans="2:12" x14ac:dyDescent="0.3">
      <c r="J12" s="4" t="s">
        <v>5</v>
      </c>
      <c r="K12" s="4" t="s">
        <v>10</v>
      </c>
      <c r="L12" s="4" t="s">
        <v>13</v>
      </c>
    </row>
    <row r="13" spans="2:12" x14ac:dyDescent="0.3">
      <c r="J13" s="5">
        <f>SUM(G30:G32)</f>
        <v>3600000</v>
      </c>
      <c r="K13" s="10">
        <f>SUM(J13,G33)</f>
        <v>4800000</v>
      </c>
      <c r="L13" s="10">
        <f>(K13-J13)</f>
        <v>1200000</v>
      </c>
    </row>
    <row r="17" spans="2:12" x14ac:dyDescent="0.3">
      <c r="J17" s="4" t="s">
        <v>14</v>
      </c>
      <c r="K17" s="4" t="s">
        <v>15</v>
      </c>
      <c r="L17" s="4" t="s">
        <v>16</v>
      </c>
    </row>
    <row r="18" spans="2:12" x14ac:dyDescent="0.3">
      <c r="J18" s="10">
        <f>SUM(J7-J13)</f>
        <v>3206938</v>
      </c>
      <c r="K18" s="10">
        <f>SUM(K7-K13)</f>
        <v>3589340</v>
      </c>
      <c r="L18" s="16">
        <f>SUM(K18-J18)</f>
        <v>382402</v>
      </c>
    </row>
    <row r="20" spans="2:12" x14ac:dyDescent="0.3">
      <c r="J20" s="4" t="s">
        <v>17</v>
      </c>
      <c r="K20" s="4" t="s">
        <v>18</v>
      </c>
      <c r="L20" s="15" t="s">
        <v>19</v>
      </c>
    </row>
    <row r="21" spans="2:12" x14ac:dyDescent="0.3">
      <c r="J21" s="10">
        <f>(J18/J7)*100</f>
        <v>47.112784044749631</v>
      </c>
      <c r="K21" s="10">
        <f>(K18/K7)*100</f>
        <v>42.784533705869592</v>
      </c>
      <c r="L21" s="17">
        <f>SUM(K21-J21)</f>
        <v>-4.3282503388800393</v>
      </c>
    </row>
    <row r="23" spans="2:12" x14ac:dyDescent="0.3">
      <c r="J23" s="18" t="s">
        <v>20</v>
      </c>
      <c r="K23" s="18"/>
      <c r="L23" s="18"/>
    </row>
    <row r="28" spans="2:12" x14ac:dyDescent="0.3">
      <c r="B28" s="12" t="s">
        <v>1</v>
      </c>
      <c r="D28" s="12" t="s">
        <v>4</v>
      </c>
      <c r="F28" s="13" t="s">
        <v>6</v>
      </c>
      <c r="G28" s="13"/>
      <c r="J28" t="s">
        <v>21</v>
      </c>
    </row>
    <row r="29" spans="2:12" x14ac:dyDescent="0.3">
      <c r="B29" s="14"/>
      <c r="D29" s="14"/>
      <c r="J29" t="s">
        <v>22</v>
      </c>
    </row>
    <row r="30" spans="2:12" x14ac:dyDescent="0.3">
      <c r="B30" s="7">
        <v>545661</v>
      </c>
      <c r="D30" s="7">
        <v>1156213</v>
      </c>
      <c r="F30" s="8" t="s">
        <v>8</v>
      </c>
      <c r="G30" s="7">
        <v>2000000</v>
      </c>
    </row>
    <row r="31" spans="2:12" x14ac:dyDescent="0.3">
      <c r="B31" s="7">
        <v>123002</v>
      </c>
      <c r="D31" s="7">
        <v>125626</v>
      </c>
      <c r="F31" s="8" t="s">
        <v>7</v>
      </c>
      <c r="G31" s="7">
        <v>500000</v>
      </c>
      <c r="J31" s="10" t="s">
        <v>23</v>
      </c>
      <c r="K31" s="10" t="s">
        <v>24</v>
      </c>
    </row>
    <row r="32" spans="2:12" ht="28.8" x14ac:dyDescent="0.3">
      <c r="B32" s="7">
        <v>89662</v>
      </c>
      <c r="D32" s="7">
        <v>300563</v>
      </c>
      <c r="F32" s="8" t="s">
        <v>9</v>
      </c>
      <c r="G32" s="7">
        <v>1100000</v>
      </c>
      <c r="J32" s="19" t="s">
        <v>25</v>
      </c>
      <c r="K32" s="19" t="s">
        <v>26</v>
      </c>
    </row>
    <row r="33" spans="2:14" x14ac:dyDescent="0.3">
      <c r="B33" s="7">
        <v>1750238</v>
      </c>
      <c r="D33" s="14"/>
      <c r="F33" s="9" t="s">
        <v>11</v>
      </c>
      <c r="G33" s="7">
        <v>1200000</v>
      </c>
    </row>
    <row r="34" spans="2:14" x14ac:dyDescent="0.3">
      <c r="B34" s="7">
        <v>30213</v>
      </c>
      <c r="J34" s="10" t="s">
        <v>27</v>
      </c>
      <c r="K34" s="10" t="s">
        <v>24</v>
      </c>
    </row>
    <row r="35" spans="2:14" x14ac:dyDescent="0.3">
      <c r="B35" s="7">
        <v>792366</v>
      </c>
      <c r="J35" s="8" t="s">
        <v>28</v>
      </c>
      <c r="K35" s="8" t="s">
        <v>29</v>
      </c>
    </row>
    <row r="36" spans="2:14" x14ac:dyDescent="0.3">
      <c r="B36" s="7">
        <v>100893</v>
      </c>
    </row>
    <row r="37" spans="2:14" x14ac:dyDescent="0.3">
      <c r="B37" s="7">
        <v>562201</v>
      </c>
      <c r="J37" t="s">
        <v>30</v>
      </c>
    </row>
    <row r="38" spans="2:14" x14ac:dyDescent="0.3">
      <c r="B38" s="7">
        <v>692133</v>
      </c>
      <c r="J38" t="s">
        <v>31</v>
      </c>
    </row>
    <row r="39" spans="2:14" x14ac:dyDescent="0.3">
      <c r="B39" s="7">
        <v>2120569</v>
      </c>
    </row>
    <row r="40" spans="2:14" x14ac:dyDescent="0.3">
      <c r="J40" s="20" t="s">
        <v>34</v>
      </c>
      <c r="K40" s="20"/>
      <c r="L40" s="20"/>
      <c r="M40" s="20"/>
      <c r="N40" s="20"/>
    </row>
    <row r="42" spans="2:14" x14ac:dyDescent="0.3">
      <c r="J42" t="s">
        <v>32</v>
      </c>
    </row>
    <row r="43" spans="2:14" x14ac:dyDescent="0.3">
      <c r="J43" t="s">
        <v>33</v>
      </c>
    </row>
    <row r="44" spans="2:14" x14ac:dyDescent="0.3">
      <c r="J44" t="s">
        <v>35</v>
      </c>
    </row>
    <row r="45" spans="2:14" x14ac:dyDescent="0.3">
      <c r="J45" t="s">
        <v>36</v>
      </c>
    </row>
    <row r="47" spans="2:14" x14ac:dyDescent="0.3">
      <c r="J47" t="s">
        <v>37</v>
      </c>
    </row>
    <row r="48" spans="2:14" x14ac:dyDescent="0.3">
      <c r="J48" t="s">
        <v>38</v>
      </c>
    </row>
    <row r="50" spans="10:14" x14ac:dyDescent="0.3">
      <c r="J50" s="10" t="s">
        <v>39</v>
      </c>
      <c r="K50" s="10" t="s">
        <v>41</v>
      </c>
      <c r="L50" s="10" t="s">
        <v>42</v>
      </c>
      <c r="M50" s="10" t="s">
        <v>16</v>
      </c>
      <c r="N50" s="10" t="s">
        <v>43</v>
      </c>
    </row>
    <row r="51" spans="10:14" x14ac:dyDescent="0.3">
      <c r="J51" s="10" t="s">
        <v>40</v>
      </c>
      <c r="K51" s="5">
        <v>4200000</v>
      </c>
      <c r="L51" s="10">
        <f>SUM(K7-K51)</f>
        <v>4189340</v>
      </c>
      <c r="M51" s="21">
        <f>SUM(L51-J18)</f>
        <v>982402</v>
      </c>
      <c r="N51" s="21">
        <f>(L51/J7)*100</f>
        <v>61.545147024991266</v>
      </c>
    </row>
    <row r="53" spans="10:14" x14ac:dyDescent="0.3">
      <c r="J53" s="2" t="s">
        <v>44</v>
      </c>
    </row>
    <row r="54" spans="10:14" x14ac:dyDescent="0.3">
      <c r="J54" s="2" t="s">
        <v>45</v>
      </c>
    </row>
  </sheetData>
  <mergeCells count="3">
    <mergeCell ref="F28:G28"/>
    <mergeCell ref="B1:L1"/>
    <mergeCell ref="J40:N4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Mulani</dc:creator>
  <cp:lastModifiedBy>Rahil Mulani</cp:lastModifiedBy>
  <dcterms:created xsi:type="dcterms:W3CDTF">2026-02-28T06:17:05Z</dcterms:created>
  <dcterms:modified xsi:type="dcterms:W3CDTF">2026-02-28T08:28:47Z</dcterms:modified>
</cp:coreProperties>
</file>